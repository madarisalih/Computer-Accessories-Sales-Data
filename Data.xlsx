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OLIH\"/>
    </mc:Choice>
  </mc:AlternateContent>
  <xr:revisionPtr revIDLastSave="0" documentId="8_{42E28228-F8F5-4635-B317-0829C472B7FC}" xr6:coauthVersionLast="47" xr6:coauthVersionMax="47" xr10:uidLastSave="{00000000-0000-0000-0000-000000000000}"/>
  <bookViews>
    <workbookView xWindow="-120" yWindow="-120" windowWidth="21840" windowHeight="13140" xr2:uid="{96A1C5D6-1D28-4B69-A4CC-A36A192DF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1" i="1" l="1"/>
  <c r="O81" i="1"/>
  <c r="N81" i="1"/>
  <c r="H81" i="1"/>
  <c r="P80" i="1"/>
  <c r="O80" i="1"/>
  <c r="N80" i="1"/>
  <c r="H80" i="1"/>
  <c r="P79" i="1"/>
  <c r="O79" i="1"/>
  <c r="N79" i="1"/>
  <c r="H79" i="1"/>
  <c r="P78" i="1"/>
  <c r="O78" i="1"/>
  <c r="N78" i="1"/>
  <c r="H78" i="1"/>
  <c r="P77" i="1"/>
  <c r="O77" i="1"/>
  <c r="N77" i="1"/>
  <c r="H77" i="1"/>
  <c r="P76" i="1"/>
  <c r="O76" i="1"/>
  <c r="N76" i="1"/>
  <c r="H76" i="1"/>
  <c r="P75" i="1"/>
  <c r="O75" i="1"/>
  <c r="N75" i="1"/>
  <c r="H75" i="1"/>
  <c r="P74" i="1"/>
  <c r="O74" i="1"/>
  <c r="N74" i="1"/>
  <c r="H74" i="1"/>
  <c r="P73" i="1"/>
  <c r="O73" i="1"/>
  <c r="N73" i="1"/>
  <c r="H73" i="1"/>
  <c r="P72" i="1"/>
  <c r="O72" i="1"/>
  <c r="N72" i="1"/>
  <c r="H72" i="1"/>
  <c r="P71" i="1"/>
  <c r="O71" i="1"/>
  <c r="N71" i="1"/>
  <c r="H71" i="1"/>
  <c r="P70" i="1"/>
  <c r="O70" i="1"/>
  <c r="N70" i="1"/>
  <c r="H70" i="1"/>
  <c r="P69" i="1"/>
  <c r="O69" i="1"/>
  <c r="N69" i="1"/>
  <c r="H69" i="1"/>
  <c r="P68" i="1"/>
  <c r="O68" i="1"/>
  <c r="N68" i="1"/>
  <c r="H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<sst xmlns="http://schemas.openxmlformats.org/spreadsheetml/2006/main" count="496" uniqueCount="194">
  <si>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</si>
  <si>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</si>
  <si>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</si>
  <si>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</si>
  <si>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</si>
  <si>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</si>
  <si>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</si>
  <si>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</si>
  <si>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</si>
  <si>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</si>
  <si>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</si>
  <si>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</si>
  <si>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</si>
  <si>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</si>
  <si>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Month_No</t>
  </si>
  <si>
    <t>Profit_margin_%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</si>
  <si>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</si>
  <si>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</si>
  <si>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</si>
  <si>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</si>
  <si>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</si>
  <si>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</si>
  <si>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</si>
  <si>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</si>
  <si>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</si>
  <si>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</si>
  <si>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</si>
  <si>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</si>
  <si>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</si>
  <si>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</si>
  <si>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ORD10004</t>
  </si>
  <si>
    <t>C1004</t>
  </si>
  <si>
    <t>SOUTH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</si>
  <si>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</si>
  <si>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</si>
  <si>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</si>
  <si>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</si>
  <si>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</si>
  <si>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</si>
  <si>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</si>
  <si>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</si>
  <si>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ORD10008</t>
  </si>
  <si>
    <t>C1008</t>
  </si>
  <si>
    <t>EAST</t>
  </si>
  <si>
    <t>ORD10009</t>
  </si>
  <si>
    <t>C1009</t>
  </si>
  <si>
    <t>upi</t>
  </si>
  <si>
    <t>ORD10010</t>
  </si>
  <si>
    <t>C1010</t>
  </si>
  <si>
    <t>WEST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</si>
  <si>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</si>
  <si>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</si>
  <si>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</si>
  <si>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</si>
  <si>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</si>
  <si>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</si>
  <si>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</si>
  <si>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</si>
  <si>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</si>
  <si>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</si>
  <si>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</si>
  <si>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</si>
  <si>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>C1016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</si>
  <si>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</si>
  <si>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</si>
  <si>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</si>
  <si>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</si>
  <si>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</si>
  <si>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</si>
  <si>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</si>
  <si>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</si>
  <si>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</si>
  <si>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</si>
  <si>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</si>
  <si>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</si>
  <si>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</si>
  <si>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</si>
  <si>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</si>
  <si>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 xml:space="preserve">Mouse 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</si>
  <si>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</si>
  <si>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</si>
  <si>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</si>
  <si>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</si>
  <si>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</si>
  <si>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</si>
  <si>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</si>
  <si>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</si>
  <si>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</si>
  <si>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</si>
  <si>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</si>
  <si>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</si>
  <si>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</si>
  <si>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</si>
  <si>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</si>
  <si>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</si>
  <si>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</si>
  <si>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</si>
  <si>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</si>
  <si>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</si>
  <si>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</si>
  <si>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</si>
  <si>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</si>
  <si>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</si>
  <si>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</si>
  <si>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</si>
  <si>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</si>
  <si>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</si>
  <si>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</si>
  <si>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</si>
  <si>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</si>
  <si>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</si>
  <si>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</si>
  <si>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</si>
  <si>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</si>
  <si>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</si>
  <si>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</si>
  <si>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</si>
  <si>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</si>
  <si>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</si>
  <si>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</si>
  <si>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</si>
  <si>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ORD10045</t>
  </si>
  <si>
    <t>C1045</t>
  </si>
  <si>
    <t>Unknown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</si>
  <si>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</si>
  <si>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</si>
  <si>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</si>
  <si>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</si>
  <si>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</si>
  <si>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</si>
  <si>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</si>
  <si>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</si>
  <si>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</si>
  <si>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</si>
  <si>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</si>
  <si>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</si>
  <si>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</si>
  <si>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</si>
  <si>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</si>
  <si>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</si>
  <si>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</si>
  <si>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</si>
  <si>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</si>
  <si>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</si>
  <si>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</si>
  <si>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</si>
  <si>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 xml:space="preserve">Card 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</si>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</sst>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3" formatCode="#,##0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15D8F-89AA-480B-9BA5-8A2AF48D4587}" name="Table1" displayName="Table1" ref="A1:P81" totalsRowShown="0">
  <autoFilter ref="A1:P81" xr:uid="{B8B15D8F-89AA-480B-9BA5-8A2AF48D4587}"/>
  <tableColumns count="16">
    <tableColumn id="1" xr3:uid="{4798CFF5-B55D-463A-BDA9-88451F5EA90A}" name="Order_ID"/>
    <tableColumn id="2" xr3:uid="{45423FAE-EC71-4F03-9B4C-39C0FC72A176}" name="Order_Date" dataDxfId="2"/>
    <tableColumn id="3" xr3:uid="{D24AA304-253A-487B-920A-C4B1D55B5100}" name="Customer"/>
    <tableColumn id="4" xr3:uid="{9B5DB118-C7C0-4092-A1EA-613B237D394A}" name="Product"/>
    <tableColumn id="5" xr3:uid="{78AE3BCC-F9E5-4F1E-B283-0980EC21CC0B}" name="Category"/>
    <tableColumn id="6" xr3:uid="{2F421FB4-CCC4-41FC-86FC-011A64E4A917}" name="Region"/>
    <tableColumn id="7" xr3:uid="{BCAE574C-0D35-4D82-9AEC-525B335D9F31}" name="Quantity"/>
    <tableColumn id="8" xr3:uid="{BCA2CD71-6451-4E2A-BBF9-AA6F9B1F76A8}" name="Unit_Price" dataDxfId="1">
      <calculatedColumnFormula>K2/(G2*(1-I2/100))</calculatedColumnFormula>
    </tableColumn>
    <tableColumn id="9" xr3:uid="{12308355-27BE-4277-9ADC-F7315D220D92}" name="Discount_%"/>
    <tableColumn id="10" xr3:uid="{9EDF443F-9636-43EC-83CB-C3468958677A}" name="Payment_Mode"/>
    <tableColumn id="11" xr3:uid="{3813BF6F-B21A-490D-B1FC-952BFDC16F87}" name="Sales"/>
    <tableColumn id="12" xr3:uid="{29445DDF-2B64-41A7-94E8-FA998A8D3A8E}" name="Cost"/>
    <tableColumn id="13" xr3:uid="{CF80295E-7686-4BC2-913A-6E6A3E7CDEF1}" name="Profit"/>
    <tableColumn id="14" xr3:uid="{18ACD6B9-6808-402C-94F0-2C88859C5E62}" name="Month" dataDxfId="0">
      <calculatedColumnFormula>TEXT(B2,"mmmM")</calculatedColumnFormula>
    </tableColumn>
    <tableColumn id="15" xr3:uid="{5A98053E-C56C-4E7A-8A33-D85329DD626F}" name="Month_No">
      <calculatedColumnFormula>TEXT(B2,"m")</calculatedColumnFormula>
    </tableColumn>
    <tableColumn id="16" xr3:uid="{3AF2901A-461C-4C05-A883-C9702CFD2D81}" name="Profit_margin_%">
      <calculatedColumnFormula>M2/K2*100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8461-A9B0-4078-88DE-EACB50444DFB}">
  <dimension ref="A1:P81"/>
  <sheetViews>
    <sheetView tabSelected="1" workbookViewId="0">
      <selection activeCell="F7" sqref="F7"/>
    </sheetView>
  </sheetViews>
  <sheetFormatPr defaultRowHeight="15" x14ac:dyDescent="0.25"/>
  <cols>
    <col min="1" max="1" width="17.28515625" customWidth="1"/>
    <col min="2" max="2" width="21.140625" customWidth="1"/>
    <col min="3" max="3" width="18" customWidth="1"/>
    <col min="4" max="4" width="14.5703125" customWidth="1"/>
    <col min="5" max="5" width="16.42578125" customWidth="1"/>
    <col min="6" max="6" width="13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t="s">
        <v>16</v>
      </c>
      <c r="B2" s="4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 s="5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 t="shared" ref="N2:N65" si="0">TEXT(B2,"mmmM")</f>
        <v>January</v>
      </c>
      <c r="O2" t="str">
        <f>TEXT(B2,"m")</f>
        <v>1</v>
      </c>
      <c r="P2">
        <f>M2/K2*100</f>
        <v>32.58334527049611</v>
      </c>
    </row>
    <row r="3" spans="1:16" x14ac:dyDescent="0.25">
      <c r="A3" t="s">
        <v>22</v>
      </c>
      <c r="B3" s="4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 s="5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si="0"/>
        <v>January</v>
      </c>
      <c r="O3" t="str">
        <f t="shared" ref="O3:O66" si="1">TEXT(B3,"m")</f>
        <v>1</v>
      </c>
      <c r="P3">
        <f t="shared" ref="P3:P66" si="2">M3/K3*100</f>
        <v>29.220508166969143</v>
      </c>
    </row>
    <row r="4" spans="1:16" x14ac:dyDescent="0.25">
      <c r="A4" t="s">
        <v>27</v>
      </c>
      <c r="B4" s="4">
        <v>46027.556962025323</v>
      </c>
      <c r="C4" t="s">
        <v>28</v>
      </c>
      <c r="D4" t="s">
        <v>29</v>
      </c>
      <c r="E4" t="s">
        <v>25</v>
      </c>
      <c r="F4" t="s">
        <v>20</v>
      </c>
      <c r="G4">
        <v>2</v>
      </c>
      <c r="H4" s="5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January</v>
      </c>
      <c r="O4" t="str">
        <f t="shared" si="1"/>
        <v>1</v>
      </c>
      <c r="P4">
        <f t="shared" si="2"/>
        <v>36.43081275720165</v>
      </c>
    </row>
    <row r="5" spans="1:16" x14ac:dyDescent="0.25">
      <c r="A5" t="s">
        <v>30</v>
      </c>
      <c r="B5" s="4">
        <v>46029.835443037977</v>
      </c>
      <c r="C5" t="s">
        <v>31</v>
      </c>
      <c r="D5" t="s">
        <v>24</v>
      </c>
      <c r="E5" t="s">
        <v>25</v>
      </c>
      <c r="F5" t="s">
        <v>32</v>
      </c>
      <c r="G5">
        <v>2</v>
      </c>
      <c r="H5" s="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January</v>
      </c>
      <c r="O5" t="str">
        <f t="shared" si="1"/>
        <v>1</v>
      </c>
      <c r="P5">
        <f t="shared" si="2"/>
        <v>37.493029703587169</v>
      </c>
    </row>
    <row r="6" spans="1:16" x14ac:dyDescent="0.25">
      <c r="A6" t="s">
        <v>33</v>
      </c>
      <c r="B6" s="4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 s="5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January</v>
      </c>
      <c r="O6" t="str">
        <f t="shared" si="1"/>
        <v>1</v>
      </c>
      <c r="P6">
        <f t="shared" si="2"/>
        <v>18.747002398081534</v>
      </c>
    </row>
    <row r="7" spans="1:16" x14ac:dyDescent="0.25">
      <c r="A7" t="s">
        <v>35</v>
      </c>
      <c r="B7" s="4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 s="5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January</v>
      </c>
      <c r="O7" t="str">
        <f t="shared" si="1"/>
        <v>1</v>
      </c>
      <c r="P7">
        <f t="shared" si="2"/>
        <v>21.28031677940934</v>
      </c>
    </row>
    <row r="8" spans="1:16" x14ac:dyDescent="0.25">
      <c r="A8" t="s">
        <v>39</v>
      </c>
      <c r="B8" s="4">
        <v>46036.670886075954</v>
      </c>
      <c r="C8" t="s">
        <v>40</v>
      </c>
      <c r="D8" t="s">
        <v>29</v>
      </c>
      <c r="E8" t="s">
        <v>25</v>
      </c>
      <c r="F8" t="s">
        <v>20</v>
      </c>
      <c r="G8">
        <v>1</v>
      </c>
      <c r="H8" s="5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January</v>
      </c>
      <c r="O8" t="str">
        <f t="shared" si="1"/>
        <v>1</v>
      </c>
      <c r="P8">
        <f t="shared" si="2"/>
        <v>24.080703156212547</v>
      </c>
    </row>
    <row r="9" spans="1:16" x14ac:dyDescent="0.25">
      <c r="A9" t="s">
        <v>41</v>
      </c>
      <c r="B9" s="4">
        <v>46038.9493670886</v>
      </c>
      <c r="C9" t="s">
        <v>42</v>
      </c>
      <c r="D9" t="s">
        <v>29</v>
      </c>
      <c r="E9" t="s">
        <v>25</v>
      </c>
      <c r="F9" t="s">
        <v>43</v>
      </c>
      <c r="G9">
        <v>1</v>
      </c>
      <c r="H9" s="5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January</v>
      </c>
      <c r="O9" t="str">
        <f t="shared" si="1"/>
        <v>1</v>
      </c>
      <c r="P9">
        <f t="shared" si="2"/>
        <v>29.82114301178439</v>
      </c>
    </row>
    <row r="10" spans="1:16" x14ac:dyDescent="0.25">
      <c r="A10" t="s">
        <v>44</v>
      </c>
      <c r="B10" s="4">
        <v>46041.227848101262</v>
      </c>
      <c r="C10" t="s">
        <v>45</v>
      </c>
      <c r="D10" t="s">
        <v>29</v>
      </c>
      <c r="E10" t="s">
        <v>25</v>
      </c>
      <c r="F10" t="s">
        <v>20</v>
      </c>
      <c r="G10">
        <v>3</v>
      </c>
      <c r="H10" s="5">
        <v>2134</v>
      </c>
      <c r="I10">
        <v>0</v>
      </c>
      <c r="J10" t="s">
        <v>46</v>
      </c>
      <c r="K10">
        <v>6402</v>
      </c>
      <c r="L10">
        <v>4191.13</v>
      </c>
      <c r="M10">
        <v>2210.87</v>
      </c>
      <c r="N10" t="str">
        <f t="shared" si="0"/>
        <v>January</v>
      </c>
      <c r="O10" t="str">
        <f t="shared" si="1"/>
        <v>1</v>
      </c>
      <c r="P10">
        <f t="shared" si="2"/>
        <v>34.534051858794122</v>
      </c>
    </row>
    <row r="11" spans="1:16" x14ac:dyDescent="0.25">
      <c r="A11" t="s">
        <v>47</v>
      </c>
      <c r="B11" s="4">
        <v>46043.506329113923</v>
      </c>
      <c r="C11" t="s">
        <v>48</v>
      </c>
      <c r="D11" t="s">
        <v>24</v>
      </c>
      <c r="E11" t="s">
        <v>25</v>
      </c>
      <c r="F11" t="s">
        <v>49</v>
      </c>
      <c r="G11">
        <v>2</v>
      </c>
      <c r="H11" s="5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January</v>
      </c>
      <c r="O11" t="str">
        <f t="shared" si="1"/>
        <v>1</v>
      </c>
      <c r="P11">
        <f t="shared" si="2"/>
        <v>34.871311249950878</v>
      </c>
    </row>
    <row r="12" spans="1:16" x14ac:dyDescent="0.25">
      <c r="A12" t="s">
        <v>50</v>
      </c>
      <c r="B12" s="4">
        <v>46045.784810126577</v>
      </c>
      <c r="C12" t="s">
        <v>51</v>
      </c>
      <c r="D12" t="s">
        <v>18</v>
      </c>
      <c r="E12" t="s">
        <v>19</v>
      </c>
      <c r="F12" t="s">
        <v>20</v>
      </c>
      <c r="G12">
        <v>5</v>
      </c>
      <c r="H12" s="5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January</v>
      </c>
      <c r="O12" t="str">
        <f t="shared" si="1"/>
        <v>1</v>
      </c>
      <c r="P12">
        <f t="shared" si="2"/>
        <v>32.995137138621203</v>
      </c>
    </row>
    <row r="13" spans="1:16" x14ac:dyDescent="0.25">
      <c r="A13" t="s">
        <v>52</v>
      </c>
      <c r="B13" s="4">
        <v>46048.063291139239</v>
      </c>
      <c r="C13" t="s">
        <v>53</v>
      </c>
      <c r="D13" t="s">
        <v>29</v>
      </c>
      <c r="E13" t="s">
        <v>25</v>
      </c>
      <c r="F13" t="s">
        <v>49</v>
      </c>
      <c r="G13">
        <v>4</v>
      </c>
      <c r="H13" s="5">
        <v>2639</v>
      </c>
      <c r="I13">
        <v>10</v>
      </c>
      <c r="J13" t="s">
        <v>54</v>
      </c>
      <c r="K13">
        <v>9500.4</v>
      </c>
      <c r="L13">
        <v>6933.82</v>
      </c>
      <c r="M13">
        <v>2566.58</v>
      </c>
      <c r="N13" t="str">
        <f t="shared" si="0"/>
        <v>January</v>
      </c>
      <c r="O13" t="str">
        <f t="shared" si="1"/>
        <v>1</v>
      </c>
      <c r="P13">
        <f t="shared" si="2"/>
        <v>27.015494084459601</v>
      </c>
    </row>
    <row r="14" spans="1:16" x14ac:dyDescent="0.25">
      <c r="A14" t="s">
        <v>55</v>
      </c>
      <c r="B14" s="4">
        <v>46050.3417721519</v>
      </c>
      <c r="C14" t="s">
        <v>56</v>
      </c>
      <c r="D14" t="s">
        <v>24</v>
      </c>
      <c r="E14" t="s">
        <v>25</v>
      </c>
      <c r="F14" t="s">
        <v>49</v>
      </c>
      <c r="G14">
        <v>2</v>
      </c>
      <c r="H14" s="5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January</v>
      </c>
      <c r="O14" t="str">
        <f t="shared" si="1"/>
        <v>1</v>
      </c>
      <c r="P14">
        <f t="shared" si="2"/>
        <v>23.708156779661017</v>
      </c>
    </row>
    <row r="15" spans="1:16" x14ac:dyDescent="0.25">
      <c r="A15" t="s">
        <v>57</v>
      </c>
      <c r="B15" s="4">
        <v>46052.620253164547</v>
      </c>
      <c r="C15" t="s">
        <v>58</v>
      </c>
      <c r="D15" t="s">
        <v>37</v>
      </c>
      <c r="E15" t="s">
        <v>25</v>
      </c>
      <c r="F15" t="s">
        <v>49</v>
      </c>
      <c r="G15">
        <v>4</v>
      </c>
      <c r="H15" s="5">
        <v>1687</v>
      </c>
      <c r="I15">
        <v>15</v>
      </c>
      <c r="J15" t="s">
        <v>54</v>
      </c>
      <c r="K15">
        <v>5735.8</v>
      </c>
      <c r="L15">
        <v>4313.55</v>
      </c>
      <c r="M15">
        <v>1422.25</v>
      </c>
      <c r="N15" t="str">
        <f t="shared" si="0"/>
        <v>January</v>
      </c>
      <c r="O15" t="str">
        <f t="shared" si="1"/>
        <v>1</v>
      </c>
      <c r="P15">
        <f t="shared" si="2"/>
        <v>24.796017992259141</v>
      </c>
    </row>
    <row r="16" spans="1:16" x14ac:dyDescent="0.25">
      <c r="A16" t="s">
        <v>59</v>
      </c>
      <c r="B16" s="4">
        <v>46054.898734177208</v>
      </c>
      <c r="C16" t="s">
        <v>60</v>
      </c>
      <c r="D16" t="s">
        <v>18</v>
      </c>
      <c r="E16" t="s">
        <v>19</v>
      </c>
      <c r="F16" t="s">
        <v>43</v>
      </c>
      <c r="G16">
        <v>3</v>
      </c>
      <c r="H16" s="5">
        <v>14259</v>
      </c>
      <c r="I16">
        <v>0</v>
      </c>
      <c r="J16" t="s">
        <v>54</v>
      </c>
      <c r="K16">
        <v>42777</v>
      </c>
      <c r="L16">
        <v>28916.69</v>
      </c>
      <c r="M16">
        <v>13860.31</v>
      </c>
      <c r="N16" t="str">
        <f t="shared" si="0"/>
        <v>February</v>
      </c>
      <c r="O16" t="str">
        <f t="shared" si="1"/>
        <v>2</v>
      </c>
      <c r="P16">
        <f t="shared" si="2"/>
        <v>32.401313790120852</v>
      </c>
    </row>
    <row r="17" spans="1:16" x14ac:dyDescent="0.25">
      <c r="A17" t="s">
        <v>61</v>
      </c>
      <c r="B17" s="4">
        <v>46057.177215189869</v>
      </c>
      <c r="C17" t="s">
        <v>62</v>
      </c>
      <c r="D17" t="s">
        <v>37</v>
      </c>
      <c r="E17" t="s">
        <v>25</v>
      </c>
      <c r="F17" t="s">
        <v>43</v>
      </c>
      <c r="G17">
        <v>3</v>
      </c>
      <c r="H17" s="5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February</v>
      </c>
      <c r="O17" t="str">
        <f t="shared" si="1"/>
        <v>2</v>
      </c>
      <c r="P17">
        <f t="shared" si="2"/>
        <v>18.902815040243464</v>
      </c>
    </row>
    <row r="18" spans="1:16" x14ac:dyDescent="0.25">
      <c r="A18" t="s">
        <v>63</v>
      </c>
      <c r="B18" s="4">
        <v>46059.455696202524</v>
      </c>
      <c r="C18" t="s">
        <v>64</v>
      </c>
      <c r="D18" t="s">
        <v>18</v>
      </c>
      <c r="E18" t="s">
        <v>19</v>
      </c>
      <c r="F18" t="s">
        <v>43</v>
      </c>
      <c r="G18">
        <v>1</v>
      </c>
      <c r="H18" s="5">
        <v>14174</v>
      </c>
      <c r="I18">
        <v>0</v>
      </c>
      <c r="J18" t="s">
        <v>54</v>
      </c>
      <c r="K18">
        <v>14174</v>
      </c>
      <c r="L18">
        <v>10879.67</v>
      </c>
      <c r="M18">
        <v>3294.33</v>
      </c>
      <c r="N18" t="str">
        <f t="shared" si="0"/>
        <v>February</v>
      </c>
      <c r="O18" t="str">
        <f t="shared" si="1"/>
        <v>2</v>
      </c>
      <c r="P18">
        <f t="shared" si="2"/>
        <v>23.242062932129251</v>
      </c>
    </row>
    <row r="19" spans="1:16" x14ac:dyDescent="0.25">
      <c r="A19" t="s">
        <v>65</v>
      </c>
      <c r="B19" s="4">
        <v>46061.734177215178</v>
      </c>
      <c r="C19" t="s">
        <v>66</v>
      </c>
      <c r="D19" t="s">
        <v>24</v>
      </c>
      <c r="E19" t="s">
        <v>25</v>
      </c>
      <c r="F19" t="s">
        <v>20</v>
      </c>
      <c r="G19">
        <v>5</v>
      </c>
      <c r="H19" s="5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February</v>
      </c>
      <c r="O19" t="str">
        <f t="shared" si="1"/>
        <v>2</v>
      </c>
      <c r="P19">
        <f t="shared" si="2"/>
        <v>26.912942844631647</v>
      </c>
    </row>
    <row r="20" spans="1:16" x14ac:dyDescent="0.25">
      <c r="A20" t="s">
        <v>67</v>
      </c>
      <c r="B20" s="4">
        <v>46064.012658227854</v>
      </c>
      <c r="C20" t="s">
        <v>68</v>
      </c>
      <c r="D20" t="s">
        <v>69</v>
      </c>
      <c r="E20" t="s">
        <v>19</v>
      </c>
      <c r="F20" t="s">
        <v>49</v>
      </c>
      <c r="G20">
        <v>4</v>
      </c>
      <c r="H20" s="5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February</v>
      </c>
      <c r="O20" t="str">
        <f t="shared" si="1"/>
        <v>2</v>
      </c>
      <c r="P20">
        <f t="shared" si="2"/>
        <v>25.765583956274462</v>
      </c>
    </row>
    <row r="21" spans="1:16" x14ac:dyDescent="0.25">
      <c r="A21" t="s">
        <v>70</v>
      </c>
      <c r="B21" s="4">
        <v>46066.2911392405</v>
      </c>
      <c r="C21" t="s">
        <v>71</v>
      </c>
      <c r="D21" t="s">
        <v>18</v>
      </c>
      <c r="E21" t="s">
        <v>19</v>
      </c>
      <c r="F21" t="s">
        <v>43</v>
      </c>
      <c r="G21">
        <v>2</v>
      </c>
      <c r="H21" s="5">
        <v>13837</v>
      </c>
      <c r="I21">
        <v>5</v>
      </c>
      <c r="J21" t="s">
        <v>54</v>
      </c>
      <c r="K21">
        <v>26290.3</v>
      </c>
      <c r="L21">
        <v>18506.27</v>
      </c>
      <c r="M21">
        <v>7784.03</v>
      </c>
      <c r="N21" t="str">
        <f t="shared" si="0"/>
        <v>February</v>
      </c>
      <c r="O21" t="str">
        <f t="shared" si="1"/>
        <v>2</v>
      </c>
      <c r="P21">
        <f t="shared" si="2"/>
        <v>29.607992301343085</v>
      </c>
    </row>
    <row r="22" spans="1:16" x14ac:dyDescent="0.25">
      <c r="A22" t="s">
        <v>72</v>
      </c>
      <c r="B22" s="4">
        <v>46068.569620253162</v>
      </c>
      <c r="C22" t="s">
        <v>73</v>
      </c>
      <c r="D22" t="s">
        <v>37</v>
      </c>
      <c r="E22" t="s">
        <v>25</v>
      </c>
      <c r="F22" t="s">
        <v>43</v>
      </c>
      <c r="G22">
        <v>3</v>
      </c>
      <c r="H22" s="5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February</v>
      </c>
      <c r="O22" t="str">
        <f t="shared" si="1"/>
        <v>2</v>
      </c>
      <c r="P22">
        <f t="shared" si="2"/>
        <v>33.045517637486242</v>
      </c>
    </row>
    <row r="23" spans="1:16" x14ac:dyDescent="0.25">
      <c r="A23" t="s">
        <v>74</v>
      </c>
      <c r="B23" s="4">
        <v>46070.848101265823</v>
      </c>
      <c r="C23" t="s">
        <v>75</v>
      </c>
      <c r="D23" t="s">
        <v>24</v>
      </c>
      <c r="E23" t="s">
        <v>25</v>
      </c>
      <c r="F23" t="s">
        <v>20</v>
      </c>
      <c r="G23">
        <v>1</v>
      </c>
      <c r="H23" s="5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February</v>
      </c>
      <c r="O23" t="str">
        <f t="shared" si="1"/>
        <v>2</v>
      </c>
      <c r="P23">
        <f t="shared" si="2"/>
        <v>30.880630780491046</v>
      </c>
    </row>
    <row r="24" spans="1:16" x14ac:dyDescent="0.25">
      <c r="A24" t="s">
        <v>76</v>
      </c>
      <c r="B24" s="4">
        <v>46073.12658227847</v>
      </c>
      <c r="C24" t="s">
        <v>77</v>
      </c>
      <c r="D24" t="s">
        <v>78</v>
      </c>
      <c r="E24" t="s">
        <v>19</v>
      </c>
      <c r="F24" t="s">
        <v>43</v>
      </c>
      <c r="G24">
        <v>1</v>
      </c>
      <c r="H24" s="5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February</v>
      </c>
      <c r="O24" t="str">
        <f t="shared" si="1"/>
        <v>2</v>
      </c>
      <c r="P24">
        <f t="shared" si="2"/>
        <v>22.843041686804231</v>
      </c>
    </row>
    <row r="25" spans="1:16" x14ac:dyDescent="0.25">
      <c r="A25" t="s">
        <v>79</v>
      </c>
      <c r="B25" s="4">
        <v>46075.405063291131</v>
      </c>
      <c r="C25" t="s">
        <v>80</v>
      </c>
      <c r="D25" t="s">
        <v>69</v>
      </c>
      <c r="E25" t="s">
        <v>19</v>
      </c>
      <c r="F25" t="s">
        <v>20</v>
      </c>
      <c r="G25">
        <v>4</v>
      </c>
      <c r="H25" s="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February</v>
      </c>
      <c r="O25" t="str">
        <f t="shared" si="1"/>
        <v>2</v>
      </c>
      <c r="P25">
        <f t="shared" si="2"/>
        <v>37.712131361225268</v>
      </c>
    </row>
    <row r="26" spans="1:16" x14ac:dyDescent="0.25">
      <c r="A26" t="s">
        <v>81</v>
      </c>
      <c r="B26" s="4">
        <v>46077.6835443038</v>
      </c>
      <c r="C26" t="s">
        <v>82</v>
      </c>
      <c r="D26" t="s">
        <v>69</v>
      </c>
      <c r="E26" t="s">
        <v>19</v>
      </c>
      <c r="F26" t="s">
        <v>32</v>
      </c>
      <c r="G26">
        <v>3</v>
      </c>
      <c r="H26" s="5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February</v>
      </c>
      <c r="O26" t="str">
        <f t="shared" si="1"/>
        <v>2</v>
      </c>
      <c r="P26">
        <f t="shared" si="2"/>
        <v>35.678543908274129</v>
      </c>
    </row>
    <row r="27" spans="1:16" x14ac:dyDescent="0.25">
      <c r="A27" t="s">
        <v>83</v>
      </c>
      <c r="B27" s="4">
        <v>46079.962025316447</v>
      </c>
      <c r="C27" t="s">
        <v>84</v>
      </c>
      <c r="D27" t="s">
        <v>29</v>
      </c>
      <c r="E27" t="s">
        <v>25</v>
      </c>
      <c r="F27" t="s">
        <v>43</v>
      </c>
      <c r="G27">
        <v>5</v>
      </c>
      <c r="H27" s="5">
        <v>2026</v>
      </c>
      <c r="I27">
        <v>10</v>
      </c>
      <c r="J27" t="s">
        <v>54</v>
      </c>
      <c r="K27">
        <v>9117</v>
      </c>
      <c r="L27">
        <v>5736.42</v>
      </c>
      <c r="M27">
        <v>3380.58</v>
      </c>
      <c r="N27" t="str">
        <f t="shared" si="0"/>
        <v>February</v>
      </c>
      <c r="O27" t="str">
        <f t="shared" si="1"/>
        <v>2</v>
      </c>
      <c r="P27">
        <f t="shared" si="2"/>
        <v>37.079960513326753</v>
      </c>
    </row>
    <row r="28" spans="1:16" x14ac:dyDescent="0.25">
      <c r="A28" t="s">
        <v>85</v>
      </c>
      <c r="B28" s="4">
        <v>46082.240506329108</v>
      </c>
      <c r="C28" t="s">
        <v>86</v>
      </c>
      <c r="D28" t="s">
        <v>29</v>
      </c>
      <c r="E28" t="s">
        <v>25</v>
      </c>
      <c r="F28" t="s">
        <v>32</v>
      </c>
      <c r="G28">
        <v>3</v>
      </c>
      <c r="H28" s="5">
        <v>2225</v>
      </c>
      <c r="I28">
        <v>15</v>
      </c>
      <c r="J28" t="s">
        <v>54</v>
      </c>
      <c r="K28">
        <v>5673.75</v>
      </c>
      <c r="L28">
        <v>3563.94</v>
      </c>
      <c r="M28">
        <v>2109.81</v>
      </c>
      <c r="N28" t="str">
        <f t="shared" si="0"/>
        <v>March</v>
      </c>
      <c r="O28" t="str">
        <f t="shared" si="1"/>
        <v>3</v>
      </c>
      <c r="P28">
        <f t="shared" si="2"/>
        <v>37.185459352280233</v>
      </c>
    </row>
    <row r="29" spans="1:16" x14ac:dyDescent="0.25">
      <c r="A29" t="s">
        <v>87</v>
      </c>
      <c r="B29" s="4">
        <v>46084.518987341769</v>
      </c>
      <c r="C29" t="s">
        <v>88</v>
      </c>
      <c r="D29" t="s">
        <v>37</v>
      </c>
      <c r="E29" t="s">
        <v>25</v>
      </c>
      <c r="F29" t="s">
        <v>20</v>
      </c>
      <c r="G29">
        <v>4</v>
      </c>
      <c r="H29" s="5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March</v>
      </c>
      <c r="O29" t="str">
        <f t="shared" si="1"/>
        <v>3</v>
      </c>
      <c r="P29">
        <f t="shared" si="2"/>
        <v>20.890735852169609</v>
      </c>
    </row>
    <row r="30" spans="1:16" x14ac:dyDescent="0.25">
      <c r="A30" t="s">
        <v>89</v>
      </c>
      <c r="B30" s="4">
        <v>46086.797468354423</v>
      </c>
      <c r="C30" t="s">
        <v>90</v>
      </c>
      <c r="D30" t="s">
        <v>18</v>
      </c>
      <c r="E30" t="s">
        <v>19</v>
      </c>
      <c r="F30" t="s">
        <v>49</v>
      </c>
      <c r="G30">
        <v>4</v>
      </c>
      <c r="H30" s="5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March</v>
      </c>
      <c r="O30" t="str">
        <f t="shared" si="1"/>
        <v>3</v>
      </c>
      <c r="P30">
        <f t="shared" si="2"/>
        <v>23.926838890674773</v>
      </c>
    </row>
    <row r="31" spans="1:16" x14ac:dyDescent="0.25">
      <c r="A31" t="s">
        <v>91</v>
      </c>
      <c r="B31" s="4">
        <v>46089.075949367078</v>
      </c>
      <c r="C31" t="s">
        <v>92</v>
      </c>
      <c r="D31" t="s">
        <v>18</v>
      </c>
      <c r="E31" t="s">
        <v>19</v>
      </c>
      <c r="F31" t="s">
        <v>43</v>
      </c>
      <c r="G31">
        <v>3</v>
      </c>
      <c r="H31" s="5">
        <v>14083</v>
      </c>
      <c r="I31">
        <v>15</v>
      </c>
      <c r="J31" t="s">
        <v>54</v>
      </c>
      <c r="K31">
        <v>35911.65</v>
      </c>
      <c r="L31">
        <v>25670.9</v>
      </c>
      <c r="M31">
        <v>10240.75</v>
      </c>
      <c r="N31" t="str">
        <f t="shared" si="0"/>
        <v>March</v>
      </c>
      <c r="O31" t="str">
        <f t="shared" si="1"/>
        <v>3</v>
      </c>
      <c r="P31">
        <f t="shared" si="2"/>
        <v>28.516512051103192</v>
      </c>
    </row>
    <row r="32" spans="1:16" x14ac:dyDescent="0.25">
      <c r="A32" t="s">
        <v>93</v>
      </c>
      <c r="B32" s="4">
        <v>46091.354430379753</v>
      </c>
      <c r="C32" t="s">
        <v>94</v>
      </c>
      <c r="D32" t="s">
        <v>29</v>
      </c>
      <c r="E32" t="s">
        <v>25</v>
      </c>
      <c r="F32" t="s">
        <v>20</v>
      </c>
      <c r="G32">
        <v>4</v>
      </c>
      <c r="H32" s="5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March</v>
      </c>
      <c r="O32" t="str">
        <f t="shared" si="1"/>
        <v>3</v>
      </c>
      <c r="P32">
        <f t="shared" si="2"/>
        <v>36.043346774193544</v>
      </c>
    </row>
    <row r="33" spans="1:16" x14ac:dyDescent="0.25">
      <c r="A33" t="s">
        <v>95</v>
      </c>
      <c r="B33" s="4">
        <v>46093.632911392393</v>
      </c>
      <c r="C33" t="s">
        <v>96</v>
      </c>
      <c r="D33" t="s">
        <v>18</v>
      </c>
      <c r="E33" t="s">
        <v>19</v>
      </c>
      <c r="F33" t="s">
        <v>49</v>
      </c>
      <c r="G33">
        <v>3</v>
      </c>
      <c r="H33" s="5">
        <v>14252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March</v>
      </c>
      <c r="O33" t="str">
        <f t="shared" si="1"/>
        <v>3</v>
      </c>
      <c r="P33">
        <f t="shared" si="2"/>
        <v>28.167690564547147</v>
      </c>
    </row>
    <row r="34" spans="1:16" x14ac:dyDescent="0.25">
      <c r="A34" t="s">
        <v>97</v>
      </c>
      <c r="B34" s="4">
        <v>46095.911392405047</v>
      </c>
      <c r="C34" t="s">
        <v>98</v>
      </c>
      <c r="D34" t="s">
        <v>18</v>
      </c>
      <c r="E34" t="s">
        <v>19</v>
      </c>
      <c r="F34" t="s">
        <v>49</v>
      </c>
      <c r="G34">
        <v>2</v>
      </c>
      <c r="H34" s="5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March</v>
      </c>
      <c r="O34" t="str">
        <f t="shared" si="1"/>
        <v>3</v>
      </c>
      <c r="P34">
        <f t="shared" si="2"/>
        <v>28.530553108459344</v>
      </c>
    </row>
    <row r="35" spans="1:16" x14ac:dyDescent="0.25">
      <c r="A35" t="s">
        <v>99</v>
      </c>
      <c r="B35" s="4">
        <v>46098.189873417723</v>
      </c>
      <c r="C35" t="s">
        <v>100</v>
      </c>
      <c r="D35" t="s">
        <v>69</v>
      </c>
      <c r="E35" t="s">
        <v>19</v>
      </c>
      <c r="F35" t="s">
        <v>32</v>
      </c>
      <c r="G35">
        <v>3</v>
      </c>
      <c r="H35" s="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March</v>
      </c>
      <c r="O35" t="str">
        <f t="shared" si="1"/>
        <v>3</v>
      </c>
      <c r="P35">
        <f t="shared" si="2"/>
        <v>34.535960709873756</v>
      </c>
    </row>
    <row r="36" spans="1:16" x14ac:dyDescent="0.25">
      <c r="A36" t="s">
        <v>101</v>
      </c>
      <c r="B36" s="4">
        <v>46100.46835443037</v>
      </c>
      <c r="C36" t="s">
        <v>102</v>
      </c>
      <c r="D36" t="s">
        <v>29</v>
      </c>
      <c r="E36" t="s">
        <v>25</v>
      </c>
      <c r="F36" t="s">
        <v>20</v>
      </c>
      <c r="G36">
        <v>3</v>
      </c>
      <c r="H36" s="5">
        <v>2546</v>
      </c>
      <c r="I36">
        <v>0</v>
      </c>
      <c r="J36" t="s">
        <v>54</v>
      </c>
      <c r="K36">
        <v>7638</v>
      </c>
      <c r="L36">
        <v>5398.31</v>
      </c>
      <c r="M36">
        <v>2239.69</v>
      </c>
      <c r="N36" t="str">
        <f t="shared" si="0"/>
        <v>March</v>
      </c>
      <c r="O36" t="str">
        <f t="shared" si="1"/>
        <v>3</v>
      </c>
      <c r="P36">
        <f t="shared" si="2"/>
        <v>29.322990311599895</v>
      </c>
    </row>
    <row r="37" spans="1:16" x14ac:dyDescent="0.25">
      <c r="A37" t="s">
        <v>103</v>
      </c>
      <c r="B37" s="4">
        <v>46102.746835443031</v>
      </c>
      <c r="C37" t="s">
        <v>104</v>
      </c>
      <c r="D37" t="s">
        <v>24</v>
      </c>
      <c r="E37" t="s">
        <v>25</v>
      </c>
      <c r="F37" t="s">
        <v>49</v>
      </c>
      <c r="G37">
        <v>4</v>
      </c>
      <c r="H37" s="5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March</v>
      </c>
      <c r="O37" t="str">
        <f t="shared" si="1"/>
        <v>3</v>
      </c>
      <c r="P37">
        <f t="shared" si="2"/>
        <v>30.029914304316456</v>
      </c>
    </row>
    <row r="38" spans="1:16" x14ac:dyDescent="0.25">
      <c r="A38" t="s">
        <v>105</v>
      </c>
      <c r="B38" s="4">
        <v>46105.025316455693</v>
      </c>
      <c r="C38" t="s">
        <v>106</v>
      </c>
      <c r="D38" t="s">
        <v>29</v>
      </c>
      <c r="E38" t="s">
        <v>25</v>
      </c>
      <c r="F38" t="s">
        <v>43</v>
      </c>
      <c r="G38">
        <v>4</v>
      </c>
      <c r="H38" s="5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March</v>
      </c>
      <c r="O38" t="str">
        <f t="shared" si="1"/>
        <v>3</v>
      </c>
      <c r="P38">
        <f t="shared" si="2"/>
        <v>25.683051215277775</v>
      </c>
    </row>
    <row r="39" spans="1:16" x14ac:dyDescent="0.25">
      <c r="A39" t="s">
        <v>107</v>
      </c>
      <c r="B39" s="4">
        <v>46107.303797468347</v>
      </c>
      <c r="C39" t="s">
        <v>108</v>
      </c>
      <c r="D39" t="s">
        <v>24</v>
      </c>
      <c r="E39" t="s">
        <v>25</v>
      </c>
      <c r="F39" t="s">
        <v>43</v>
      </c>
      <c r="G39">
        <v>1</v>
      </c>
      <c r="H39" s="5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March</v>
      </c>
      <c r="O39" t="str">
        <f t="shared" si="1"/>
        <v>3</v>
      </c>
      <c r="P39">
        <f t="shared" si="2"/>
        <v>25.298129043539081</v>
      </c>
    </row>
    <row r="40" spans="1:16" x14ac:dyDescent="0.25">
      <c r="A40" t="s">
        <v>109</v>
      </c>
      <c r="B40" s="4">
        <v>46109.582278481008</v>
      </c>
      <c r="C40" t="s">
        <v>110</v>
      </c>
      <c r="D40" t="s">
        <v>69</v>
      </c>
      <c r="E40" t="s">
        <v>19</v>
      </c>
      <c r="F40" t="s">
        <v>32</v>
      </c>
      <c r="G40">
        <v>1</v>
      </c>
      <c r="H40" s="5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March</v>
      </c>
      <c r="O40" t="str">
        <f t="shared" si="1"/>
        <v>3</v>
      </c>
      <c r="P40">
        <f t="shared" si="2"/>
        <v>37.093914185639235</v>
      </c>
    </row>
    <row r="41" spans="1:16" x14ac:dyDescent="0.25">
      <c r="A41" t="s">
        <v>111</v>
      </c>
      <c r="B41" s="4">
        <v>46111.860759493669</v>
      </c>
      <c r="C41" t="s">
        <v>112</v>
      </c>
      <c r="D41" t="s">
        <v>37</v>
      </c>
      <c r="E41" t="s">
        <v>25</v>
      </c>
      <c r="F41" t="s">
        <v>49</v>
      </c>
      <c r="G41">
        <v>2</v>
      </c>
      <c r="H41" s="5">
        <v>1171</v>
      </c>
      <c r="I41">
        <v>5</v>
      </c>
      <c r="J41" t="s">
        <v>54</v>
      </c>
      <c r="K41">
        <v>2224.9</v>
      </c>
      <c r="L41">
        <v>1546.13</v>
      </c>
      <c r="M41">
        <v>678.77</v>
      </c>
      <c r="N41" t="str">
        <f t="shared" si="0"/>
        <v>March</v>
      </c>
      <c r="O41" t="str">
        <f t="shared" si="1"/>
        <v>3</v>
      </c>
      <c r="P41">
        <f t="shared" si="2"/>
        <v>30.507887994966065</v>
      </c>
    </row>
    <row r="42" spans="1:16" x14ac:dyDescent="0.25">
      <c r="A42" t="s">
        <v>113</v>
      </c>
      <c r="B42" s="4">
        <v>46114.139240506323</v>
      </c>
      <c r="C42" t="s">
        <v>114</v>
      </c>
      <c r="D42" t="s">
        <v>18</v>
      </c>
      <c r="E42" t="s">
        <v>19</v>
      </c>
      <c r="F42" t="s">
        <v>20</v>
      </c>
      <c r="G42">
        <v>1</v>
      </c>
      <c r="H42" s="5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April</v>
      </c>
      <c r="O42" t="str">
        <f t="shared" si="1"/>
        <v>4</v>
      </c>
      <c r="P42">
        <f t="shared" si="2"/>
        <v>25.482784641895773</v>
      </c>
    </row>
    <row r="43" spans="1:16" x14ac:dyDescent="0.25">
      <c r="A43" t="s">
        <v>115</v>
      </c>
      <c r="B43" s="4">
        <v>46116.417721518977</v>
      </c>
      <c r="C43" t="s">
        <v>116</v>
      </c>
      <c r="D43" t="s">
        <v>69</v>
      </c>
      <c r="E43" t="s">
        <v>19</v>
      </c>
      <c r="F43" t="s">
        <v>43</v>
      </c>
      <c r="G43">
        <v>3</v>
      </c>
      <c r="H43" s="5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April</v>
      </c>
      <c r="O43" t="str">
        <f t="shared" si="1"/>
        <v>4</v>
      </c>
      <c r="P43">
        <f t="shared" si="2"/>
        <v>27.937274085736568</v>
      </c>
    </row>
    <row r="44" spans="1:16" x14ac:dyDescent="0.25">
      <c r="A44" t="s">
        <v>117</v>
      </c>
      <c r="B44" s="4">
        <v>46118.696202531653</v>
      </c>
      <c r="C44" t="s">
        <v>118</v>
      </c>
      <c r="D44" t="s">
        <v>18</v>
      </c>
      <c r="E44" t="s">
        <v>19</v>
      </c>
      <c r="F44" t="s">
        <v>49</v>
      </c>
      <c r="G44">
        <v>4</v>
      </c>
      <c r="H44" s="5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April</v>
      </c>
      <c r="O44" t="str">
        <f t="shared" si="1"/>
        <v>4</v>
      </c>
      <c r="P44">
        <f t="shared" si="2"/>
        <v>20.870194363746293</v>
      </c>
    </row>
    <row r="45" spans="1:16" x14ac:dyDescent="0.25">
      <c r="A45" t="s">
        <v>119</v>
      </c>
      <c r="B45" s="4">
        <v>46120.974683544293</v>
      </c>
      <c r="C45" t="s">
        <v>120</v>
      </c>
      <c r="D45" t="s">
        <v>37</v>
      </c>
      <c r="E45" t="s">
        <v>25</v>
      </c>
      <c r="F45" t="s">
        <v>49</v>
      </c>
      <c r="G45">
        <v>1</v>
      </c>
      <c r="H45" s="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April</v>
      </c>
      <c r="O45" t="str">
        <f t="shared" si="1"/>
        <v>4</v>
      </c>
      <c r="P45">
        <f t="shared" si="2"/>
        <v>24.825837320574163</v>
      </c>
    </row>
    <row r="46" spans="1:16" x14ac:dyDescent="0.25">
      <c r="A46" t="s">
        <v>121</v>
      </c>
      <c r="B46" s="4">
        <v>46123.253164556947</v>
      </c>
      <c r="C46" t="s">
        <v>122</v>
      </c>
      <c r="D46" t="s">
        <v>37</v>
      </c>
      <c r="E46" t="s">
        <v>25</v>
      </c>
      <c r="F46" t="s">
        <v>123</v>
      </c>
      <c r="G46">
        <v>1</v>
      </c>
      <c r="H46" s="5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April</v>
      </c>
      <c r="O46" t="str">
        <f t="shared" si="1"/>
        <v>4</v>
      </c>
      <c r="P46">
        <f t="shared" si="2"/>
        <v>34.741039272851992</v>
      </c>
    </row>
    <row r="47" spans="1:16" x14ac:dyDescent="0.25">
      <c r="A47" t="s">
        <v>124</v>
      </c>
      <c r="B47" s="4">
        <v>46125.531645569623</v>
      </c>
      <c r="C47" t="s">
        <v>125</v>
      </c>
      <c r="D47" t="s">
        <v>69</v>
      </c>
      <c r="E47" t="s">
        <v>19</v>
      </c>
      <c r="F47" t="s">
        <v>43</v>
      </c>
      <c r="G47">
        <v>2</v>
      </c>
      <c r="H47" s="5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April</v>
      </c>
      <c r="O47" t="str">
        <f t="shared" si="1"/>
        <v>4</v>
      </c>
      <c r="P47">
        <f t="shared" si="2"/>
        <v>36.588628412508569</v>
      </c>
    </row>
    <row r="48" spans="1:16" x14ac:dyDescent="0.25">
      <c r="A48" t="s">
        <v>126</v>
      </c>
      <c r="B48" s="4">
        <v>46127.81012658227</v>
      </c>
      <c r="C48" t="s">
        <v>127</v>
      </c>
      <c r="D48" t="s">
        <v>37</v>
      </c>
      <c r="E48" t="s">
        <v>25</v>
      </c>
      <c r="F48" t="s">
        <v>43</v>
      </c>
      <c r="G48">
        <v>2</v>
      </c>
      <c r="H48" s="5">
        <v>1098</v>
      </c>
      <c r="I48">
        <v>5</v>
      </c>
      <c r="J48" t="s">
        <v>54</v>
      </c>
      <c r="K48">
        <v>2086.1999999999998</v>
      </c>
      <c r="L48">
        <v>1561.49</v>
      </c>
      <c r="M48">
        <v>524.71</v>
      </c>
      <c r="N48" t="str">
        <f t="shared" si="0"/>
        <v>April</v>
      </c>
      <c r="O48" t="str">
        <f t="shared" si="1"/>
        <v>4</v>
      </c>
      <c r="P48">
        <f t="shared" si="2"/>
        <v>25.151471575112648</v>
      </c>
    </row>
    <row r="49" spans="1:16" x14ac:dyDescent="0.25">
      <c r="A49" t="s">
        <v>128</v>
      </c>
      <c r="B49" s="4">
        <v>46130.088607594931</v>
      </c>
      <c r="C49" t="s">
        <v>129</v>
      </c>
      <c r="D49" t="s">
        <v>24</v>
      </c>
      <c r="E49" t="s">
        <v>25</v>
      </c>
      <c r="F49" t="s">
        <v>20</v>
      </c>
      <c r="G49">
        <v>3</v>
      </c>
      <c r="H49" s="5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April</v>
      </c>
      <c r="O49" t="str">
        <f t="shared" si="1"/>
        <v>4</v>
      </c>
      <c r="P49">
        <f t="shared" si="2"/>
        <v>37.469832314684218</v>
      </c>
    </row>
    <row r="50" spans="1:16" x14ac:dyDescent="0.25">
      <c r="A50" t="s">
        <v>130</v>
      </c>
      <c r="B50" s="4">
        <v>46132.367088607592</v>
      </c>
      <c r="C50" t="s">
        <v>131</v>
      </c>
      <c r="D50" t="s">
        <v>37</v>
      </c>
      <c r="E50" t="s">
        <v>25</v>
      </c>
      <c r="F50" t="s">
        <v>43</v>
      </c>
      <c r="G50">
        <v>4</v>
      </c>
      <c r="H50" s="5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April</v>
      </c>
      <c r="O50" t="str">
        <f t="shared" si="1"/>
        <v>4</v>
      </c>
      <c r="P50">
        <f t="shared" si="2"/>
        <v>26.284515040533314</v>
      </c>
    </row>
    <row r="51" spans="1:16" x14ac:dyDescent="0.25">
      <c r="A51" t="s">
        <v>132</v>
      </c>
      <c r="B51" s="4">
        <v>46134.645569620247</v>
      </c>
      <c r="C51" t="s">
        <v>133</v>
      </c>
      <c r="D51" t="s">
        <v>18</v>
      </c>
      <c r="E51" t="s">
        <v>19</v>
      </c>
      <c r="F51" t="s">
        <v>20</v>
      </c>
      <c r="G51">
        <v>2</v>
      </c>
      <c r="H51" s="5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April</v>
      </c>
      <c r="O51" t="str">
        <f t="shared" si="1"/>
        <v>4</v>
      </c>
      <c r="P51">
        <f t="shared" si="2"/>
        <v>19.195410423145791</v>
      </c>
    </row>
    <row r="52" spans="1:16" x14ac:dyDescent="0.25">
      <c r="A52" t="s">
        <v>134</v>
      </c>
      <c r="B52" s="4">
        <v>46136.924050632908</v>
      </c>
      <c r="C52" t="s">
        <v>135</v>
      </c>
      <c r="D52" t="s">
        <v>18</v>
      </c>
      <c r="E52" t="s">
        <v>19</v>
      </c>
      <c r="F52" t="s">
        <v>43</v>
      </c>
      <c r="G52">
        <v>1</v>
      </c>
      <c r="H52" s="5">
        <v>14296</v>
      </c>
      <c r="I52">
        <v>15</v>
      </c>
      <c r="J52" t="s">
        <v>54</v>
      </c>
      <c r="K52">
        <v>12151.6</v>
      </c>
      <c r="L52">
        <v>8932.58</v>
      </c>
      <c r="M52">
        <v>3219.02</v>
      </c>
      <c r="N52" t="str">
        <f t="shared" si="0"/>
        <v>April</v>
      </c>
      <c r="O52" t="str">
        <f t="shared" si="1"/>
        <v>4</v>
      </c>
      <c r="P52">
        <f t="shared" si="2"/>
        <v>26.490503308206325</v>
      </c>
    </row>
    <row r="53" spans="1:16" x14ac:dyDescent="0.25">
      <c r="A53" t="s">
        <v>136</v>
      </c>
      <c r="B53" s="4">
        <v>46139.202531645569</v>
      </c>
      <c r="C53" t="s">
        <v>137</v>
      </c>
      <c r="D53" t="s">
        <v>18</v>
      </c>
      <c r="E53" t="s">
        <v>19</v>
      </c>
      <c r="F53" t="s">
        <v>32</v>
      </c>
      <c r="G53">
        <v>4</v>
      </c>
      <c r="H53" s="5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April</v>
      </c>
      <c r="O53" t="str">
        <f t="shared" si="1"/>
        <v>4</v>
      </c>
      <c r="P53">
        <f t="shared" si="2"/>
        <v>30.236596695269842</v>
      </c>
    </row>
    <row r="54" spans="1:16" x14ac:dyDescent="0.25">
      <c r="A54" t="s">
        <v>138</v>
      </c>
      <c r="B54" s="4">
        <v>46141.481012658223</v>
      </c>
      <c r="C54" t="s">
        <v>139</v>
      </c>
      <c r="D54" t="s">
        <v>18</v>
      </c>
      <c r="E54" t="s">
        <v>19</v>
      </c>
      <c r="F54" t="s">
        <v>43</v>
      </c>
      <c r="G54">
        <v>4</v>
      </c>
      <c r="H54" s="5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April</v>
      </c>
      <c r="O54" t="str">
        <f t="shared" si="1"/>
        <v>4</v>
      </c>
      <c r="P54">
        <f t="shared" si="2"/>
        <v>25.134227467811161</v>
      </c>
    </row>
    <row r="55" spans="1:16" x14ac:dyDescent="0.25">
      <c r="A55" t="s">
        <v>140</v>
      </c>
      <c r="B55" s="4">
        <v>46143.759493670877</v>
      </c>
      <c r="C55" t="s">
        <v>141</v>
      </c>
      <c r="D55" t="s">
        <v>24</v>
      </c>
      <c r="E55" t="s">
        <v>25</v>
      </c>
      <c r="F55" t="s">
        <v>20</v>
      </c>
      <c r="G55">
        <v>1</v>
      </c>
      <c r="H55" s="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 t="str">
        <f t="shared" si="1"/>
        <v>5</v>
      </c>
      <c r="P55">
        <f t="shared" si="2"/>
        <v>28.834927981762288</v>
      </c>
    </row>
    <row r="56" spans="1:16" x14ac:dyDescent="0.25">
      <c r="A56" t="s">
        <v>142</v>
      </c>
      <c r="B56" s="4">
        <v>46146.037974683539</v>
      </c>
      <c r="C56" t="s">
        <v>143</v>
      </c>
      <c r="D56" t="s">
        <v>29</v>
      </c>
      <c r="E56" t="s">
        <v>25</v>
      </c>
      <c r="F56" t="s">
        <v>20</v>
      </c>
      <c r="G56">
        <v>2</v>
      </c>
      <c r="H56" s="5">
        <v>2098</v>
      </c>
      <c r="I56">
        <v>0</v>
      </c>
      <c r="J56" t="s">
        <v>54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 t="str">
        <f t="shared" si="1"/>
        <v>5</v>
      </c>
      <c r="P56">
        <f t="shared" si="2"/>
        <v>27.087702573879884</v>
      </c>
    </row>
    <row r="57" spans="1:16" x14ac:dyDescent="0.25">
      <c r="A57" t="s">
        <v>144</v>
      </c>
      <c r="B57" s="4">
        <v>46148.316455696193</v>
      </c>
      <c r="C57" t="s">
        <v>145</v>
      </c>
      <c r="D57" t="s">
        <v>69</v>
      </c>
      <c r="E57" t="s">
        <v>19</v>
      </c>
      <c r="F57" t="s">
        <v>32</v>
      </c>
      <c r="G57">
        <v>1</v>
      </c>
      <c r="H57" s="5">
        <v>55499</v>
      </c>
      <c r="I57">
        <v>15</v>
      </c>
      <c r="J57" t="s">
        <v>146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 t="str">
        <f t="shared" si="1"/>
        <v>5</v>
      </c>
      <c r="P57">
        <f t="shared" si="2"/>
        <v>19.170711077995048</v>
      </c>
    </row>
    <row r="58" spans="1:16" x14ac:dyDescent="0.25">
      <c r="A58" t="s">
        <v>147</v>
      </c>
      <c r="B58" s="4">
        <v>46150.594936708847</v>
      </c>
      <c r="C58" t="s">
        <v>148</v>
      </c>
      <c r="D58" t="s">
        <v>18</v>
      </c>
      <c r="E58" t="s">
        <v>19</v>
      </c>
      <c r="F58" t="s">
        <v>43</v>
      </c>
      <c r="G58">
        <v>4</v>
      </c>
      <c r="H58" s="5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 t="str">
        <f t="shared" si="1"/>
        <v>5</v>
      </c>
      <c r="P58">
        <f t="shared" si="2"/>
        <v>30.277948045908982</v>
      </c>
    </row>
    <row r="59" spans="1:16" x14ac:dyDescent="0.25">
      <c r="A59" t="s">
        <v>149</v>
      </c>
      <c r="B59" s="4">
        <v>46152.873417721523</v>
      </c>
      <c r="C59" t="s">
        <v>150</v>
      </c>
      <c r="D59" t="s">
        <v>37</v>
      </c>
      <c r="E59" t="s">
        <v>25</v>
      </c>
      <c r="F59" t="s">
        <v>43</v>
      </c>
      <c r="G59">
        <v>5</v>
      </c>
      <c r="H59" s="5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 t="str">
        <f t="shared" si="1"/>
        <v>5</v>
      </c>
      <c r="P59">
        <f t="shared" si="2"/>
        <v>18.77627286208601</v>
      </c>
    </row>
    <row r="60" spans="1:16" x14ac:dyDescent="0.25">
      <c r="A60" t="s">
        <v>151</v>
      </c>
      <c r="B60" s="4">
        <v>46155.15189873417</v>
      </c>
      <c r="C60" t="s">
        <v>152</v>
      </c>
      <c r="D60" t="s">
        <v>18</v>
      </c>
      <c r="E60" t="s">
        <v>19</v>
      </c>
      <c r="F60" t="s">
        <v>32</v>
      </c>
      <c r="G60">
        <v>5</v>
      </c>
      <c r="H60" s="5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 t="str">
        <f t="shared" si="1"/>
        <v>5</v>
      </c>
      <c r="P60">
        <f t="shared" si="2"/>
        <v>19.892983205237687</v>
      </c>
    </row>
    <row r="61" spans="1:16" x14ac:dyDescent="0.25">
      <c r="A61" t="s">
        <v>153</v>
      </c>
      <c r="B61" s="4">
        <v>46157.430379746831</v>
      </c>
      <c r="C61" t="s">
        <v>154</v>
      </c>
      <c r="D61" t="s">
        <v>37</v>
      </c>
      <c r="E61" t="s">
        <v>25</v>
      </c>
      <c r="F61" t="s">
        <v>43</v>
      </c>
      <c r="G61">
        <v>3</v>
      </c>
      <c r="H61" s="5">
        <v>1160</v>
      </c>
      <c r="I61">
        <v>10</v>
      </c>
      <c r="J61" t="s">
        <v>54</v>
      </c>
      <c r="K61">
        <v>3132</v>
      </c>
      <c r="L61">
        <v>2064.48</v>
      </c>
      <c r="M61">
        <v>1067.52</v>
      </c>
      <c r="N61" t="str">
        <f t="shared" si="0"/>
        <v>May</v>
      </c>
      <c r="O61" t="str">
        <f t="shared" si="1"/>
        <v>5</v>
      </c>
      <c r="P61">
        <f t="shared" si="2"/>
        <v>34.08429118773946</v>
      </c>
    </row>
    <row r="62" spans="1:16" x14ac:dyDescent="0.25">
      <c r="A62" t="s">
        <v>155</v>
      </c>
      <c r="B62" s="4">
        <v>46159.708860759492</v>
      </c>
      <c r="C62" t="s">
        <v>156</v>
      </c>
      <c r="D62" t="s">
        <v>37</v>
      </c>
      <c r="E62" t="s">
        <v>25</v>
      </c>
      <c r="F62" t="s">
        <v>43</v>
      </c>
      <c r="G62">
        <v>1</v>
      </c>
      <c r="H62" s="5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 t="str">
        <f t="shared" si="1"/>
        <v>5</v>
      </c>
      <c r="P62">
        <f t="shared" si="2"/>
        <v>36.613077103351301</v>
      </c>
    </row>
    <row r="63" spans="1:16" x14ac:dyDescent="0.25">
      <c r="A63" t="s">
        <v>157</v>
      </c>
      <c r="B63" s="4">
        <v>46161.987341772139</v>
      </c>
      <c r="C63" t="s">
        <v>158</v>
      </c>
      <c r="D63" t="s">
        <v>18</v>
      </c>
      <c r="E63" t="s">
        <v>19</v>
      </c>
      <c r="F63" t="s">
        <v>20</v>
      </c>
      <c r="G63">
        <v>1</v>
      </c>
      <c r="H63" s="5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 t="str">
        <f t="shared" si="1"/>
        <v>5</v>
      </c>
      <c r="P63">
        <f t="shared" si="2"/>
        <v>35.984466193099237</v>
      </c>
    </row>
    <row r="64" spans="1:16" x14ac:dyDescent="0.25">
      <c r="A64" t="s">
        <v>159</v>
      </c>
      <c r="B64" s="4">
        <v>46164.265822784801</v>
      </c>
      <c r="C64" t="s">
        <v>160</v>
      </c>
      <c r="D64" t="s">
        <v>24</v>
      </c>
      <c r="E64" t="s">
        <v>25</v>
      </c>
      <c r="F64" t="s">
        <v>43</v>
      </c>
      <c r="G64">
        <v>3</v>
      </c>
      <c r="H64" s="5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 t="str">
        <f t="shared" si="1"/>
        <v>5</v>
      </c>
      <c r="P64">
        <f t="shared" si="2"/>
        <v>37.635576813574765</v>
      </c>
    </row>
    <row r="65" spans="1:16" x14ac:dyDescent="0.25">
      <c r="A65" t="s">
        <v>161</v>
      </c>
      <c r="B65" s="4">
        <v>46166.544303797462</v>
      </c>
      <c r="C65" t="s">
        <v>162</v>
      </c>
      <c r="D65" t="s">
        <v>37</v>
      </c>
      <c r="E65" t="s">
        <v>25</v>
      </c>
      <c r="F65" t="s">
        <v>43</v>
      </c>
      <c r="G65">
        <v>3</v>
      </c>
      <c r="H65" s="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 t="str">
        <f t="shared" si="1"/>
        <v>5</v>
      </c>
      <c r="P65">
        <f t="shared" si="2"/>
        <v>36.111207511519851</v>
      </c>
    </row>
    <row r="66" spans="1:16" x14ac:dyDescent="0.25">
      <c r="A66" t="s">
        <v>163</v>
      </c>
      <c r="B66" s="4">
        <v>46168.822784810123</v>
      </c>
      <c r="C66" t="s">
        <v>164</v>
      </c>
      <c r="D66" t="s">
        <v>37</v>
      </c>
      <c r="E66" t="s">
        <v>25</v>
      </c>
      <c r="F66" t="s">
        <v>32</v>
      </c>
      <c r="G66">
        <v>3</v>
      </c>
      <c r="H66" s="5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ref="N66:N81" si="3">TEXT(B66,"mmmM")</f>
        <v>May</v>
      </c>
      <c r="O66" t="str">
        <f t="shared" si="1"/>
        <v>5</v>
      </c>
      <c r="P66">
        <f t="shared" si="2"/>
        <v>24.339785754557415</v>
      </c>
    </row>
    <row r="67" spans="1:16" x14ac:dyDescent="0.25">
      <c r="A67" t="s">
        <v>165</v>
      </c>
      <c r="B67" s="4">
        <v>46171.101265822777</v>
      </c>
      <c r="C67" t="s">
        <v>166</v>
      </c>
      <c r="D67" t="s">
        <v>18</v>
      </c>
      <c r="E67" t="s">
        <v>19</v>
      </c>
      <c r="F67" t="s">
        <v>32</v>
      </c>
      <c r="G67">
        <v>4</v>
      </c>
      <c r="H67" s="5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si="3"/>
        <v>May</v>
      </c>
      <c r="O67" t="str">
        <f t="shared" ref="O67:O81" si="4">TEXT(B67,"m")</f>
        <v>5</v>
      </c>
      <c r="P67">
        <f t="shared" ref="P67:P81" si="5">M67/K67*100</f>
        <v>36.576218540644881</v>
      </c>
    </row>
    <row r="68" spans="1:16" x14ac:dyDescent="0.25">
      <c r="A68" t="s">
        <v>167</v>
      </c>
      <c r="B68" s="4">
        <v>46173.379746835439</v>
      </c>
      <c r="C68" t="s">
        <v>168</v>
      </c>
      <c r="D68" t="s">
        <v>37</v>
      </c>
      <c r="E68" t="s">
        <v>25</v>
      </c>
      <c r="F68" t="s">
        <v>49</v>
      </c>
      <c r="G68">
        <v>1</v>
      </c>
      <c r="H68" s="5">
        <f>K68/(G68*(1-I68/100))</f>
        <v>1322</v>
      </c>
      <c r="I68">
        <v>10</v>
      </c>
      <c r="J68" t="s">
        <v>54</v>
      </c>
      <c r="K68">
        <v>1189.8</v>
      </c>
      <c r="L68">
        <v>813.58</v>
      </c>
      <c r="M68">
        <v>376.22</v>
      </c>
      <c r="N68" t="str">
        <f t="shared" si="3"/>
        <v>May</v>
      </c>
      <c r="O68" t="str">
        <f t="shared" si="4"/>
        <v>5</v>
      </c>
      <c r="P68">
        <f t="shared" si="5"/>
        <v>31.620440410152973</v>
      </c>
    </row>
    <row r="69" spans="1:16" x14ac:dyDescent="0.25">
      <c r="A69" t="s">
        <v>169</v>
      </c>
      <c r="B69" s="4">
        <v>46175.658227848093</v>
      </c>
      <c r="C69" t="s">
        <v>170</v>
      </c>
      <c r="D69" t="s">
        <v>37</v>
      </c>
      <c r="E69" t="s">
        <v>25</v>
      </c>
      <c r="F69" t="s">
        <v>20</v>
      </c>
      <c r="G69">
        <v>4</v>
      </c>
      <c r="H69" s="5">
        <f t="shared" ref="H69:H81" si="6">K69/(G69*(1-I69/100))</f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June</v>
      </c>
      <c r="O69" t="str">
        <f t="shared" si="4"/>
        <v>6</v>
      </c>
      <c r="P69">
        <f t="shared" si="5"/>
        <v>21.102538740520934</v>
      </c>
    </row>
    <row r="70" spans="1:16" x14ac:dyDescent="0.25">
      <c r="A70" t="s">
        <v>171</v>
      </c>
      <c r="B70" s="4">
        <v>46177.936708860747</v>
      </c>
      <c r="C70" t="s">
        <v>172</v>
      </c>
      <c r="D70" t="s">
        <v>18</v>
      </c>
      <c r="E70" t="s">
        <v>19</v>
      </c>
      <c r="F70" t="s">
        <v>43</v>
      </c>
      <c r="G70">
        <v>3</v>
      </c>
      <c r="H70" s="5">
        <f t="shared" si="6"/>
        <v>14424.999999999998</v>
      </c>
      <c r="I70">
        <v>10</v>
      </c>
      <c r="J70" t="s">
        <v>54</v>
      </c>
      <c r="K70">
        <v>38947.5</v>
      </c>
      <c r="L70">
        <v>24328.73</v>
      </c>
      <c r="M70">
        <v>14618.77</v>
      </c>
      <c r="N70" t="str">
        <f t="shared" si="3"/>
        <v>June</v>
      </c>
      <c r="O70" t="str">
        <f t="shared" si="4"/>
        <v>6</v>
      </c>
      <c r="P70">
        <f t="shared" si="5"/>
        <v>37.534552923807688</v>
      </c>
    </row>
    <row r="71" spans="1:16" x14ac:dyDescent="0.25">
      <c r="A71" t="s">
        <v>173</v>
      </c>
      <c r="B71" s="4">
        <v>46180.215189873423</v>
      </c>
      <c r="C71" t="s">
        <v>174</v>
      </c>
      <c r="D71" t="s">
        <v>18</v>
      </c>
      <c r="E71" t="s">
        <v>19</v>
      </c>
      <c r="F71" t="s">
        <v>43</v>
      </c>
      <c r="G71">
        <v>1</v>
      </c>
      <c r="H71" s="5">
        <f t="shared" si="6"/>
        <v>14087.000000000002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June</v>
      </c>
      <c r="O71" t="str">
        <f t="shared" si="4"/>
        <v>6</v>
      </c>
      <c r="P71">
        <f t="shared" si="5"/>
        <v>21.71063015963821</v>
      </c>
    </row>
    <row r="72" spans="1:16" x14ac:dyDescent="0.25">
      <c r="A72" t="s">
        <v>175</v>
      </c>
      <c r="B72" s="4">
        <v>46182.493670886062</v>
      </c>
      <c r="C72" t="s">
        <v>51</v>
      </c>
      <c r="D72" t="s">
        <v>69</v>
      </c>
      <c r="E72" t="s">
        <v>19</v>
      </c>
      <c r="F72" t="s">
        <v>49</v>
      </c>
      <c r="G72">
        <v>4</v>
      </c>
      <c r="H72" s="5">
        <f t="shared" si="6"/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June</v>
      </c>
      <c r="O72" t="str">
        <f t="shared" si="4"/>
        <v>6</v>
      </c>
      <c r="P72">
        <f t="shared" si="5"/>
        <v>32.362905603624739</v>
      </c>
    </row>
    <row r="73" spans="1:16" x14ac:dyDescent="0.25">
      <c r="A73" t="s">
        <v>176</v>
      </c>
      <c r="B73" s="4">
        <v>46184.772151898716</v>
      </c>
      <c r="C73" t="s">
        <v>177</v>
      </c>
      <c r="D73" t="s">
        <v>24</v>
      </c>
      <c r="E73" t="s">
        <v>25</v>
      </c>
      <c r="F73" t="s">
        <v>43</v>
      </c>
      <c r="G73">
        <v>4</v>
      </c>
      <c r="H73" s="5">
        <f t="shared" si="6"/>
        <v>3438.0000000000005</v>
      </c>
      <c r="I73">
        <v>15</v>
      </c>
      <c r="J73" t="s">
        <v>54</v>
      </c>
      <c r="K73">
        <v>11689.2</v>
      </c>
      <c r="L73">
        <v>7523.55</v>
      </c>
      <c r="M73">
        <v>4165.6499999999996</v>
      </c>
      <c r="N73" t="str">
        <f t="shared" si="3"/>
        <v>June</v>
      </c>
      <c r="O73" t="str">
        <f t="shared" si="4"/>
        <v>6</v>
      </c>
      <c r="P73">
        <f t="shared" si="5"/>
        <v>35.636741607637809</v>
      </c>
    </row>
    <row r="74" spans="1:16" x14ac:dyDescent="0.25">
      <c r="A74" t="s">
        <v>178</v>
      </c>
      <c r="B74" s="4">
        <v>46187.050632911392</v>
      </c>
      <c r="C74" t="s">
        <v>179</v>
      </c>
      <c r="D74" t="s">
        <v>24</v>
      </c>
      <c r="E74" t="s">
        <v>25</v>
      </c>
      <c r="F74" t="s">
        <v>20</v>
      </c>
      <c r="G74">
        <v>3</v>
      </c>
      <c r="H74" s="5">
        <f t="shared" si="6"/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June</v>
      </c>
      <c r="O74" t="str">
        <f t="shared" si="4"/>
        <v>6</v>
      </c>
      <c r="P74">
        <f t="shared" si="5"/>
        <v>24.065222297449786</v>
      </c>
    </row>
    <row r="75" spans="1:16" x14ac:dyDescent="0.25">
      <c r="A75" t="s">
        <v>180</v>
      </c>
      <c r="B75" s="4">
        <v>46189.329113924039</v>
      </c>
      <c r="C75" t="s">
        <v>181</v>
      </c>
      <c r="D75" t="s">
        <v>37</v>
      </c>
      <c r="E75" t="s">
        <v>25</v>
      </c>
      <c r="F75" t="s">
        <v>49</v>
      </c>
      <c r="G75">
        <v>1</v>
      </c>
      <c r="H75" s="5">
        <f>K75/(G75*(1-I75/100))</f>
        <v>1489</v>
      </c>
      <c r="I75">
        <v>5</v>
      </c>
      <c r="J75" t="s">
        <v>54</v>
      </c>
      <c r="K75">
        <v>1414.55</v>
      </c>
      <c r="L75">
        <v>1054.96</v>
      </c>
      <c r="M75">
        <v>359.59</v>
      </c>
      <c r="N75" t="str">
        <f t="shared" si="3"/>
        <v>June</v>
      </c>
      <c r="O75" t="str">
        <f t="shared" si="4"/>
        <v>6</v>
      </c>
      <c r="P75">
        <f t="shared" si="5"/>
        <v>25.420805203068113</v>
      </c>
    </row>
    <row r="76" spans="1:16" x14ac:dyDescent="0.25">
      <c r="A76" t="s">
        <v>182</v>
      </c>
      <c r="B76" s="4">
        <v>46191.6075949367</v>
      </c>
      <c r="C76" t="s">
        <v>183</v>
      </c>
      <c r="D76" t="s">
        <v>24</v>
      </c>
      <c r="E76" t="s">
        <v>25</v>
      </c>
      <c r="F76" t="s">
        <v>20</v>
      </c>
      <c r="G76">
        <v>3</v>
      </c>
      <c r="H76" s="5">
        <f t="shared" si="6"/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June</v>
      </c>
      <c r="O76" t="str">
        <f t="shared" si="4"/>
        <v>6</v>
      </c>
      <c r="P76">
        <f t="shared" si="5"/>
        <v>20.450518669006065</v>
      </c>
    </row>
    <row r="77" spans="1:16" x14ac:dyDescent="0.25">
      <c r="A77" t="s">
        <v>184</v>
      </c>
      <c r="B77" s="4">
        <v>46193.886075949362</v>
      </c>
      <c r="C77" t="s">
        <v>185</v>
      </c>
      <c r="D77" t="s">
        <v>37</v>
      </c>
      <c r="E77" t="s">
        <v>25</v>
      </c>
      <c r="F77" t="s">
        <v>49</v>
      </c>
      <c r="G77">
        <v>1</v>
      </c>
      <c r="H77" s="5">
        <f t="shared" si="6"/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June</v>
      </c>
      <c r="O77" t="str">
        <f t="shared" si="4"/>
        <v>6</v>
      </c>
      <c r="P77">
        <f t="shared" si="5"/>
        <v>23.298181991697287</v>
      </c>
    </row>
    <row r="78" spans="1:16" x14ac:dyDescent="0.25">
      <c r="A78" t="s">
        <v>186</v>
      </c>
      <c r="B78" s="4">
        <v>46196.164556962023</v>
      </c>
      <c r="C78" t="s">
        <v>187</v>
      </c>
      <c r="D78" t="s">
        <v>69</v>
      </c>
      <c r="E78" t="s">
        <v>19</v>
      </c>
      <c r="F78" t="s">
        <v>49</v>
      </c>
      <c r="G78">
        <v>5</v>
      </c>
      <c r="H78" s="5">
        <f t="shared" si="6"/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June</v>
      </c>
      <c r="O78" t="str">
        <f t="shared" si="4"/>
        <v>6</v>
      </c>
      <c r="P78">
        <f t="shared" si="5"/>
        <v>21.93038274044293</v>
      </c>
    </row>
    <row r="79" spans="1:16" x14ac:dyDescent="0.25">
      <c r="A79" t="s">
        <v>188</v>
      </c>
      <c r="B79" s="4">
        <v>46198.443037974677</v>
      </c>
      <c r="C79" t="s">
        <v>189</v>
      </c>
      <c r="D79" t="s">
        <v>18</v>
      </c>
      <c r="E79" t="s">
        <v>19</v>
      </c>
      <c r="F79" t="s">
        <v>32</v>
      </c>
      <c r="G79">
        <v>2</v>
      </c>
      <c r="H79" s="5">
        <f t="shared" si="6"/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June</v>
      </c>
      <c r="O79" t="str">
        <f t="shared" si="4"/>
        <v>6</v>
      </c>
      <c r="P79">
        <f t="shared" si="5"/>
        <v>32.359321229381749</v>
      </c>
    </row>
    <row r="80" spans="1:16" x14ac:dyDescent="0.25">
      <c r="A80" t="s">
        <v>190</v>
      </c>
      <c r="B80" s="4">
        <v>46200.721518987339</v>
      </c>
      <c r="C80" t="s">
        <v>191</v>
      </c>
      <c r="D80" t="s">
        <v>18</v>
      </c>
      <c r="E80" t="s">
        <v>19</v>
      </c>
      <c r="F80" t="s">
        <v>20</v>
      </c>
      <c r="G80">
        <v>2</v>
      </c>
      <c r="H80" s="5">
        <f t="shared" si="6"/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June</v>
      </c>
      <c r="O80" t="str">
        <f t="shared" si="4"/>
        <v>6</v>
      </c>
      <c r="P80">
        <f t="shared" si="5"/>
        <v>34.451198568872989</v>
      </c>
    </row>
    <row r="81" spans="1:16" x14ac:dyDescent="0.25">
      <c r="A81" t="s">
        <v>192</v>
      </c>
      <c r="B81" s="4">
        <v>46203</v>
      </c>
      <c r="C81" t="s">
        <v>193</v>
      </c>
      <c r="D81" t="s">
        <v>18</v>
      </c>
      <c r="E81" t="s">
        <v>19</v>
      </c>
      <c r="F81" t="s">
        <v>43</v>
      </c>
      <c r="G81">
        <v>2</v>
      </c>
      <c r="H81" s="5">
        <f t="shared" si="6"/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June</v>
      </c>
      <c r="O81" t="str">
        <f t="shared" si="4"/>
        <v>6</v>
      </c>
      <c r="P81">
        <f t="shared" si="5"/>
        <v>22.987723489453597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2026-10-01T07:46:25Z</dcterms:created>
  <dcterms:modified xsi:type="dcterms:W3CDTF">2026-10-01T07:47:36Z</dcterms:modified>
</cp:coreProperties>
</file>